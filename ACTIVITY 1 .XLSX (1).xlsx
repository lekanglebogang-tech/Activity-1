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80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<sst xmlns="http://schemas.openxmlformats.org/spreadsheetml/2006/main" count="30" uniqueCount="30">
  <si>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EMPLOYEE ID</t>
  </si>
  <si>
    <t>EMPLOYEE NAME</t>
  </si>
  <si>
    <t>DESIGNATION</t>
  </si>
  <si>
    <t>GROSS PAY</t>
  </si>
  <si>
    <t>TAX</t>
  </si>
  <si>
    <t>BASIC PAY</t>
  </si>
  <si>
    <t>HRA</t>
  </si>
  <si>
    <t>BASIC PAY +HRA</t>
  </si>
  <si>
    <t>TSAONE JACOB</t>
  </si>
  <si>
    <t>MANAGER</t>
  </si>
  <si>
    <t>OBAKENG BENZEL</t>
  </si>
  <si>
    <t>SUPERVISOR</t>
  </si>
  <si>
    <t>PHENYO WILLIAM</t>
  </si>
  <si>
    <t>CASHIER</t>
  </si>
  <si>
    <t xml:space="preserve">SHANNEL ERIL </t>
  </si>
  <si>
    <t>TRUCK DRIVER</t>
  </si>
  <si>
    <t>LEFA JUDE</t>
  </si>
  <si>
    <t>SECURITY GUARD</t>
  </si>
  <si>
    <t>PRINCE HAZARD</t>
  </si>
  <si>
    <t>CLEANER</t>
  </si>
  <si>
    <t>MUCUS RASHFORD</t>
  </si>
  <si>
    <t xml:space="preserve">SHELF PACKER  </t>
  </si>
  <si>
    <t>LOAPI ENDRICK</t>
  </si>
  <si>
    <t>CHEF</t>
  </si>
  <si>
    <t>BASHA LOPEZ</t>
  </si>
  <si>
    <t>IT SPECAILIST</t>
  </si>
  <si>
    <t>CAROL BERLING</t>
  </si>
  <si>
    <t xml:space="preserve">ACCOUTANT </t>
  </si>
  <si>
    <t>MIN SALARY</t>
  </si>
  <si>
    <t>MAX 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</si>
</sst>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H15" sqref="H15"/>
    </sheetView>
  </sheetViews>
  <sheetFormatPr defaultColWidth="9" defaultRowHeight="15" outlineLevelCol="7"/>
  <cols>
    <col min="1" max="1" width="12.8571428571429" customWidth="1"/>
    <col min="2" max="2" width="17.7142857142857" customWidth="1"/>
    <col min="3" max="3" width="16.1428571428571" customWidth="1"/>
    <col min="4" max="4" width="10.5714285714286" customWidth="1"/>
    <col min="5" max="5" width="12.1428571428571" customWidth="1"/>
    <col min="6" max="6" width="10.5714285714286" customWidth="1"/>
    <col min="7" max="8" width="15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10001</v>
      </c>
      <c r="B2" s="2" t="s">
        <v>8</v>
      </c>
      <c r="C2" s="2" t="s">
        <v>9</v>
      </c>
      <c r="D2" s="2">
        <v>8000</v>
      </c>
      <c r="E2" s="2">
        <f t="shared" ref="E2:E11" si="0">D2/100*12</f>
        <v>960</v>
      </c>
      <c r="F2" s="2">
        <f t="shared" ref="F2:F11" si="1">D2-E2</f>
        <v>7040</v>
      </c>
      <c r="G2" s="2">
        <f t="shared" ref="G2:G11" si="2">(D2/100)*20</f>
        <v>1600</v>
      </c>
      <c r="H2" s="2">
        <f t="shared" ref="H2:H11" si="3">F2+G2</f>
        <v>8640</v>
      </c>
    </row>
    <row r="3" spans="1:8">
      <c r="A3" s="2">
        <v>10002</v>
      </c>
      <c r="B3" s="2" t="s">
        <v>10</v>
      </c>
      <c r="C3" s="2" t="s">
        <v>11</v>
      </c>
      <c r="D3" s="2">
        <v>6500</v>
      </c>
      <c r="E3" s="2">
        <f t="shared" si="0"/>
        <v>780</v>
      </c>
      <c r="F3" s="2">
        <f t="shared" si="1"/>
        <v>5720</v>
      </c>
      <c r="G3" s="2">
        <f t="shared" si="2"/>
        <v>1300</v>
      </c>
      <c r="H3" s="2">
        <f t="shared" si="3"/>
        <v>7020</v>
      </c>
    </row>
    <row r="4" spans="1:8">
      <c r="A4" s="2">
        <v>10003</v>
      </c>
      <c r="B4" s="2" t="s">
        <v>12</v>
      </c>
      <c r="C4" s="2" t="s">
        <v>13</v>
      </c>
      <c r="D4" s="2">
        <v>4500</v>
      </c>
      <c r="E4" s="2">
        <f t="shared" si="0"/>
        <v>540</v>
      </c>
      <c r="F4" s="2">
        <f t="shared" si="1"/>
        <v>3960</v>
      </c>
      <c r="G4" s="2">
        <f t="shared" si="2"/>
        <v>900</v>
      </c>
      <c r="H4" s="2">
        <f t="shared" si="3"/>
        <v>4860</v>
      </c>
    </row>
    <row r="5" spans="1:8">
      <c r="A5" s="2">
        <v>10004</v>
      </c>
      <c r="B5" s="2" t="s">
        <v>14</v>
      </c>
      <c r="C5" s="2" t="s">
        <v>15</v>
      </c>
      <c r="D5" s="2">
        <v>5000</v>
      </c>
      <c r="E5" s="2">
        <f t="shared" si="0"/>
        <v>600</v>
      </c>
      <c r="F5" s="2">
        <f t="shared" si="1"/>
        <v>4400</v>
      </c>
      <c r="G5" s="2">
        <f t="shared" si="2"/>
        <v>1000</v>
      </c>
      <c r="H5" s="2">
        <f t="shared" si="3"/>
        <v>5400</v>
      </c>
    </row>
    <row r="6" spans="1:8">
      <c r="A6" s="2">
        <v>10005</v>
      </c>
      <c r="B6" s="2" t="s">
        <v>16</v>
      </c>
      <c r="C6" s="2" t="s">
        <v>17</v>
      </c>
      <c r="D6" s="2">
        <v>4200</v>
      </c>
      <c r="E6" s="2">
        <f t="shared" si="0"/>
        <v>504</v>
      </c>
      <c r="F6" s="2">
        <f t="shared" si="1"/>
        <v>3696</v>
      </c>
      <c r="G6" s="2">
        <f t="shared" si="2"/>
        <v>840</v>
      </c>
      <c r="H6" s="2">
        <f t="shared" si="3"/>
        <v>4536</v>
      </c>
    </row>
    <row r="7" spans="1:8">
      <c r="A7" s="2">
        <v>10006</v>
      </c>
      <c r="B7" s="2" t="s">
        <v>18</v>
      </c>
      <c r="C7" s="2" t="s">
        <v>19</v>
      </c>
      <c r="D7" s="2">
        <v>3000</v>
      </c>
      <c r="E7" s="2">
        <f t="shared" si="0"/>
        <v>360</v>
      </c>
      <c r="F7" s="2">
        <f t="shared" si="1"/>
        <v>2640</v>
      </c>
      <c r="G7" s="2">
        <f t="shared" si="2"/>
        <v>600</v>
      </c>
      <c r="H7" s="2">
        <f t="shared" si="3"/>
        <v>3240</v>
      </c>
    </row>
    <row r="8" spans="1:8">
      <c r="A8" s="2">
        <v>10007</v>
      </c>
      <c r="B8" s="2" t="s">
        <v>20</v>
      </c>
      <c r="C8" s="2" t="s">
        <v>21</v>
      </c>
      <c r="D8" s="2">
        <v>2800</v>
      </c>
      <c r="E8" s="2">
        <f t="shared" si="0"/>
        <v>336</v>
      </c>
      <c r="F8" s="2">
        <f t="shared" si="1"/>
        <v>2464</v>
      </c>
      <c r="G8" s="2">
        <f t="shared" si="2"/>
        <v>560</v>
      </c>
      <c r="H8" s="2">
        <f t="shared" si="3"/>
        <v>3024</v>
      </c>
    </row>
    <row r="9" spans="1:8">
      <c r="A9" s="2">
        <v>10008</v>
      </c>
      <c r="B9" s="2" t="s">
        <v>22</v>
      </c>
      <c r="C9" s="2" t="s">
        <v>23</v>
      </c>
      <c r="D9" s="2">
        <v>5500</v>
      </c>
      <c r="E9" s="2">
        <f t="shared" si="0"/>
        <v>660</v>
      </c>
      <c r="F9" s="2">
        <f t="shared" si="1"/>
        <v>4840</v>
      </c>
      <c r="G9" s="2">
        <f t="shared" si="2"/>
        <v>1100</v>
      </c>
      <c r="H9" s="2">
        <f t="shared" si="3"/>
        <v>5940</v>
      </c>
    </row>
    <row r="10" spans="1:8">
      <c r="A10" s="2">
        <v>10009</v>
      </c>
      <c r="B10" s="2" t="s">
        <v>24</v>
      </c>
      <c r="C10" s="2" t="s">
        <v>25</v>
      </c>
      <c r="D10" s="2">
        <v>9000</v>
      </c>
      <c r="E10" s="2">
        <f t="shared" si="0"/>
        <v>1080</v>
      </c>
      <c r="F10" s="2">
        <f t="shared" si="1"/>
        <v>7920</v>
      </c>
      <c r="G10" s="2">
        <f t="shared" si="2"/>
        <v>1800</v>
      </c>
      <c r="H10" s="2">
        <f t="shared" si="3"/>
        <v>9720</v>
      </c>
    </row>
    <row r="11" spans="1:8">
      <c r="A11" s="2">
        <v>10010</v>
      </c>
      <c r="B11" s="2" t="s">
        <v>26</v>
      </c>
      <c r="C11" s="2" t="s">
        <v>27</v>
      </c>
      <c r="D11" s="2">
        <v>10500</v>
      </c>
      <c r="E11" s="2">
        <f t="shared" si="0"/>
        <v>1260</v>
      </c>
      <c r="F11" s="2">
        <f t="shared" si="1"/>
        <v>9240</v>
      </c>
      <c r="G11" s="2">
        <f t="shared" si="2"/>
        <v>2100</v>
      </c>
      <c r="H11" s="2">
        <f t="shared" si="3"/>
        <v>11340</v>
      </c>
    </row>
    <row r="12" spans="1:8">
      <c r="A12" s="2"/>
      <c r="B12" s="2"/>
      <c r="C12" s="2"/>
      <c r="D12" s="2"/>
      <c r="E12" s="2" t="s">
        <v>28</v>
      </c>
      <c r="F12" s="2">
        <f>MIN(F2:F11)</f>
        <v>2464</v>
      </c>
      <c r="G12" s="2"/>
      <c r="H12" s="2"/>
    </row>
    <row r="13" spans="1:8">
      <c r="A13" s="2"/>
      <c r="B13" s="2"/>
      <c r="C13" s="2"/>
      <c r="D13" s="2"/>
      <c r="E13" s="2" t="s">
        <v>29</v>
      </c>
      <c r="F13" s="2">
        <f>MAX(F2:F11)</f>
        <v>9240</v>
      </c>
      <c r="G13" s="2"/>
      <c r="H13" s="2"/>
    </row>
    <row r="14" spans="8:8">
      <c r="H14" s="3"/>
    </row>
  </sheetData>
  <sortState ref="A2:H14">
    <sortCondition ref="A2:A14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Lebogang Lekang</cp:lastModifiedBy>
  <dcterms:created xsi:type="dcterms:W3CDTF">2026-01-24T07:02:00Z</dcterms:created>
  <dcterms:modified xsi:type="dcterms:W3CDTF">2026-01-28T18:15:27Z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7C4E37FBDF864F75B70F1DF2F52F9330_12</vt:lpwstr>
  </property>
  <property fmtid="{D5CDD505-2E9C-101B-9397-08002B2CF9AE}" pid="3" name="KSOProductBuildVer">
    <vt:lpwstr>2057-12.2.0.23196</vt:lpwstr>
  </property>
</Properties>
</file>